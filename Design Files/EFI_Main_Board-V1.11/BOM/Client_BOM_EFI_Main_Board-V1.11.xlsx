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0" i="1" l="1"/>
  <c r="B51" i="1"/>
  <c r="B52" i="1"/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<sst xmlns="http://schemas.openxmlformats.org/spreadsheetml/2006/main" count="361" uniqueCount="247">
  <si>
    <t>#</t>
  </si>
  <si>
    <t>Item Type</t>
  </si>
  <si>
    <t>Capacitors</t>
  </si>
  <si>
    <t>Capacitor</t>
  </si>
  <si>
    <t>Schottky Diodes</t>
  </si>
  <si>
    <t>Diode</t>
  </si>
  <si>
    <t>TVS Diodes</t>
  </si>
  <si>
    <t>Rectifier Diodes</t>
  </si>
  <si>
    <t>Battery Holder</t>
  </si>
  <si>
    <t>Screw Terminal</t>
  </si>
  <si>
    <t>Relay</t>
  </si>
  <si>
    <t>Inductors</t>
  </si>
  <si>
    <t>LED</t>
  </si>
  <si>
    <t>LEDs</t>
  </si>
  <si>
    <t>MOSFETs</t>
  </si>
  <si>
    <t>BJTs</t>
  </si>
  <si>
    <t>Transistors</t>
  </si>
  <si>
    <t>Resistors</t>
  </si>
  <si>
    <t>Resistor</t>
  </si>
  <si>
    <t>Potensiometer</t>
  </si>
  <si>
    <t>Tactile Switch</t>
  </si>
  <si>
    <t>Switches</t>
  </si>
  <si>
    <t>DIP SWITCH</t>
  </si>
  <si>
    <t>IC</t>
  </si>
  <si>
    <t>Crystals</t>
  </si>
  <si>
    <t>Designator</t>
  </si>
  <si>
    <t>C1, C3, C4</t>
  </si>
  <si>
    <t>C2</t>
  </si>
  <si>
    <t>C5, C6</t>
  </si>
  <si>
    <t>C7, C8</t>
  </si>
  <si>
    <t>C9, C10, C11</t>
  </si>
  <si>
    <t>D1, D2, D3, D4, D5, D6, D10, D16</t>
  </si>
  <si>
    <t>D7, D8</t>
  </si>
  <si>
    <t>D9, D11</t>
  </si>
  <si>
    <t>D12, D17</t>
  </si>
  <si>
    <t>D13</t>
  </si>
  <si>
    <t>D14</t>
  </si>
  <si>
    <t>D15</t>
  </si>
  <si>
    <t>J1, J2</t>
  </si>
  <si>
    <t>J4, J5</t>
  </si>
  <si>
    <t>K1</t>
  </si>
  <si>
    <t>L1</t>
  </si>
  <si>
    <t>L2</t>
  </si>
  <si>
    <t>LED1</t>
  </si>
  <si>
    <t>LED2</t>
  </si>
  <si>
    <t>Q1, Q2, Q6, Q7, Q8, Q9, Q10, Q11</t>
  </si>
  <si>
    <t>Q3</t>
  </si>
  <si>
    <t>Q4, Q5</t>
  </si>
  <si>
    <t>R1</t>
  </si>
  <si>
    <t>R2, R6, R8, R9, R11, R12, R18, R20, R21, R22, R32</t>
  </si>
  <si>
    <t>R3</t>
  </si>
  <si>
    <t>R4, R5, R7, R10, R24, R25, R34, R35</t>
  </si>
  <si>
    <t>R13, R14, R38</t>
  </si>
  <si>
    <t>R15, R17</t>
  </si>
  <si>
    <t>R16, R19</t>
  </si>
  <si>
    <t>R23</t>
  </si>
  <si>
    <t>R26</t>
  </si>
  <si>
    <t>R27</t>
  </si>
  <si>
    <t>R28</t>
  </si>
  <si>
    <t>R29</t>
  </si>
  <si>
    <t>R30</t>
  </si>
  <si>
    <t>R31</t>
  </si>
  <si>
    <t>R33</t>
  </si>
  <si>
    <t>R36</t>
  </si>
  <si>
    <t>R37</t>
  </si>
  <si>
    <t>SW1</t>
  </si>
  <si>
    <t>SW2</t>
  </si>
  <si>
    <t>SW3, SW4</t>
  </si>
  <si>
    <t>U1</t>
  </si>
  <si>
    <t>U2</t>
  </si>
  <si>
    <t>U3, U4</t>
  </si>
  <si>
    <t>U5, U6</t>
  </si>
  <si>
    <t>U7</t>
  </si>
  <si>
    <t>X1</t>
  </si>
  <si>
    <t>Description</t>
  </si>
  <si>
    <t>CAP TANT 47UF 10% 16V 2312</t>
  </si>
  <si>
    <t>CAP TANT 100UF 10% 10V 2917</t>
  </si>
  <si>
    <t>CAP CER 15PF 50V C0G/NPO 1206</t>
  </si>
  <si>
    <t>CAP CER 0.1UF 50V X7R 1206</t>
  </si>
  <si>
    <t>CAP CER 0.047UF 100V X7R 1206</t>
  </si>
  <si>
    <t>DIODE SCHOTTKY 40V 200MA SOD80</t>
  </si>
  <si>
    <t>100V 1V@50mA 4ns 300mA LL-34 Switching Diodes ROHS</t>
  </si>
  <si>
    <t>Independent Type 2.5V~2.9V 500mW 2.7V LL-34 Zener Diodes ROHS</t>
  </si>
  <si>
    <t>Independent Type 500mW 3.4V~3.8V 3.6V LL-34 Zener Diodes ROHS</t>
  </si>
  <si>
    <t>TVS DIODE 130VWM 209VC DO214AC</t>
  </si>
  <si>
    <t>DIODE STANDARD 75V 150MA SOD80C</t>
  </si>
  <si>
    <t>Independent 4.8V~5.4V 500mW 5.1V LL-34 Single Zener Diodes RoHS</t>
  </si>
  <si>
    <t>BATTERY CONTACT CLIP AA PC PIN</t>
  </si>
  <si>
    <t>1x7P -40℃~+105℃ 15A 300V Blue 12~24 Direct Insert 5mm 1 7 Plugin,P=5mm Screw Terminal Blocks ROHS</t>
  </si>
  <si>
    <t>Magnetic Latching Relays ROHS</t>
  </si>
  <si>
    <t>FIXED IND 100UH 40MA 10 OHM SMD</t>
  </si>
  <si>
    <t>Magnetic Status Indicator</t>
  </si>
  <si>
    <t>LED YELLOW DIFFUSED 5MM T/H</t>
  </si>
  <si>
    <t>LED RED CLEAR 5MM ROUND T/H</t>
  </si>
  <si>
    <t>MOSFET BVDSS: 8V~24V SOT23 T&amp;R 3</t>
  </si>
  <si>
    <t>TRANS NPN 45V 0.1A TO-236AB</t>
  </si>
  <si>
    <t>TRANS NPN 65V 0.1A SOT23-3</t>
  </si>
  <si>
    <t>RES SMD 60.4 OHM 1% 1/4W 1206</t>
  </si>
  <si>
    <t>RES SMD 220K OHM 0.1% 1/4W 1206</t>
  </si>
  <si>
    <t>250mW Thin Film Resistor 200V ±25ppm/℃ ±0.1% 47kΩ 1206 Chip Resistor - Surface Mount ROHS</t>
  </si>
  <si>
    <t>RES 10K OHM 1% 1/2W 1206</t>
  </si>
  <si>
    <t>250mW Thick Film Resistors 200V ±100ppm/℃ ±1% 150Ω 1206 Chip Resistor - Surface Mount ROHS</t>
  </si>
  <si>
    <t>250mW Thick Film Resistors 200V ±100ppm/℃ ±1% 27kΩ 1206 Chip Resistor - Surface Mount ROHS</t>
  </si>
  <si>
    <t>250mW Thick Film Resistors 200V ±100ppm/℃ ±1% 330Ω 1206 Chip Resistor - Surface Mount ROHS</t>
  </si>
  <si>
    <t>RES SMD 22K OHM 0.1% 1/4W 1206</t>
  </si>
  <si>
    <t>TRIMMER 100K OHM 0.5W PC PIN TOP</t>
  </si>
  <si>
    <t>RES 3.7K OHM 0.1% 0.52W 1206</t>
  </si>
  <si>
    <t>RES SMD 1.82K OHM 0.1% 1/4W 1206</t>
  </si>
  <si>
    <t>RES SMD 1.24K OHM 0.1% 1/4W 1206</t>
  </si>
  <si>
    <t>RES SMD 1.06K OHM 0.1% 0.4W 1206</t>
  </si>
  <si>
    <t>RES 796 OHM 0.1% 0.52W 1206</t>
  </si>
  <si>
    <t>4 ±5% 10kΩ 62.5mW ±200ppm/℃ 0603x4 Resistor Networks, Arrays ROHS</t>
  </si>
  <si>
    <t>250mW Thick Film Resistors 200V ±100ppm/℃ ±1% 47Ω 1206 Chip Resistor - Surface Mount ROHS</t>
  </si>
  <si>
    <t>RES ARRAY 4 RES 100K OHM 1206</t>
  </si>
  <si>
    <t>50mA Lying SPST 24V Plugin Tactile Switches ROHS</t>
  </si>
  <si>
    <t>SWITCH TACTILE SPST-NO 0.05A 24V</t>
  </si>
  <si>
    <t>6 digits 24V Black 25mA 3000 Times SMD DIP Switches ROHS</t>
  </si>
  <si>
    <t>Supervisory Circuits</t>
  </si>
  <si>
    <t>IC MCU 8BIT 14KB FLASH 44TQFP</t>
  </si>
  <si>
    <t>OPTOISOLATOR 5.3KV TRANS 4SMD</t>
  </si>
  <si>
    <t>MOSFET P-CH 20V 4.2A SOT23-3</t>
  </si>
  <si>
    <t>32.768kHz Surface Mount Crystal 12.5pF ±20ppm SMD3215-2P Crystals ROHS</t>
  </si>
  <si>
    <t>Footprint</t>
  </si>
  <si>
    <t>Case-C</t>
  </si>
  <si>
    <t>Case-D</t>
  </si>
  <si>
    <t>Cap-1206</t>
  </si>
  <si>
    <t>LL-34</t>
  </si>
  <si>
    <t>SMA Bi Directional</t>
  </si>
  <si>
    <t>BK-92</t>
  </si>
  <si>
    <t>JL301-50007U02</t>
  </si>
  <si>
    <t>AZ832P2-2C-3DE</t>
  </si>
  <si>
    <t>NLV32T-101J-EF</t>
  </si>
  <si>
    <t>30NR</t>
  </si>
  <si>
    <t>TH LED 5mm Yellow</t>
  </si>
  <si>
    <t>TH LED 5mm_</t>
  </si>
  <si>
    <t>SOT-23</t>
  </si>
  <si>
    <t>Res-1206</t>
  </si>
  <si>
    <t>T93YA104KT20</t>
  </si>
  <si>
    <t>0603x4</t>
  </si>
  <si>
    <t>1825027-8</t>
  </si>
  <si>
    <t>FSM6JSMATR</t>
  </si>
  <si>
    <t>SMXS-06K-TP</t>
  </si>
  <si>
    <t>SOT-89-3</t>
  </si>
  <si>
    <t>44-TQFP (10x10)</t>
  </si>
  <si>
    <t>SFH6156-2</t>
  </si>
  <si>
    <t>SMD3215-2P</t>
  </si>
  <si>
    <t>Manufacturer Part Number</t>
  </si>
  <si>
    <t>293D476X9016C2TE3</t>
  </si>
  <si>
    <t>293D107X9010D2TE3</t>
  </si>
  <si>
    <t>CC1206JRNPO9BN150</t>
  </si>
  <si>
    <t>CC1206KRX7R9BB104</t>
  </si>
  <si>
    <t>CC1206JRX7R0BB473</t>
  </si>
  <si>
    <t>LL103A-GS08</t>
  </si>
  <si>
    <t>LL4148</t>
  </si>
  <si>
    <t>ZMM2V7</t>
  </si>
  <si>
    <t>ZMM3V6</t>
  </si>
  <si>
    <t>SMAJ130CA-E3/61</t>
  </si>
  <si>
    <t>LL4448-GS08</t>
  </si>
  <si>
    <t>ZMM5V1</t>
  </si>
  <si>
    <t>333-2UYD/S530-A3-L</t>
  </si>
  <si>
    <t>333-2SURC/S530-A3</t>
  </si>
  <si>
    <t>DMG3420UQ-7</t>
  </si>
  <si>
    <t>BC847C,215</t>
  </si>
  <si>
    <t>BC846B-7-F</t>
  </si>
  <si>
    <t>AC1206FR-0760R4L</t>
  </si>
  <si>
    <t>RT1206BRD07220KL</t>
  </si>
  <si>
    <t>ARG06BTC4702</t>
  </si>
  <si>
    <t>AC1206FR-7W10KL</t>
  </si>
  <si>
    <t>FRC1206F1500TS</t>
  </si>
  <si>
    <t>FRC1206F2702TS</t>
  </si>
  <si>
    <t>FRC1206F3300TS</t>
  </si>
  <si>
    <t>RT1206BRD0722KL</t>
  </si>
  <si>
    <t>TNPW12063K70BEEA</t>
  </si>
  <si>
    <t>RT1206BRD071K82L</t>
  </si>
  <si>
    <t>RT1206BRD071K24L</t>
  </si>
  <si>
    <t>PTN1206E1061BST1</t>
  </si>
  <si>
    <t>TNPW1206796RBEEA</t>
  </si>
  <si>
    <t>4D03WGJ0103T5E</t>
  </si>
  <si>
    <t>FRC1206F47R0TS</t>
  </si>
  <si>
    <t>YC164-JR-07100KL</t>
  </si>
  <si>
    <t>XC61CC2502PR-G</t>
  </si>
  <si>
    <t>PIC16F887-I/PT</t>
  </si>
  <si>
    <t>DMP2305U-7</t>
  </si>
  <si>
    <t>XC61CC3002PR-G</t>
  </si>
  <si>
    <t>Q13FC13500004</t>
  </si>
  <si>
    <t>Manufacturer</t>
  </si>
  <si>
    <t>Vishay Sprague</t>
  </si>
  <si>
    <t>Yageo</t>
  </si>
  <si>
    <t>Vishay</t>
  </si>
  <si>
    <t>Yangzhou Yangjie Elec Tech</t>
  </si>
  <si>
    <t>HXY MOSFET</t>
  </si>
  <si>
    <t>Memory Protection Devices</t>
  </si>
  <si>
    <t>JILN</t>
  </si>
  <si>
    <t>ZETTLER</t>
  </si>
  <si>
    <t>TDK</t>
  </si>
  <si>
    <t>Everlight</t>
  </si>
  <si>
    <t>Diodes</t>
  </si>
  <si>
    <t>Nexperia</t>
  </si>
  <si>
    <t>Viking Tech</t>
  </si>
  <si>
    <t>FOJAN</t>
  </si>
  <si>
    <t>Yageo Group</t>
  </si>
  <si>
    <t>Vishay Sfernice</t>
  </si>
  <si>
    <t>Royal Electronic Factory</t>
  </si>
  <si>
    <t>TE Connectivity</t>
  </si>
  <si>
    <t>TE Connectivity Alcoswitch</t>
  </si>
  <si>
    <t>SM Switch</t>
  </si>
  <si>
    <t>Torex</t>
  </si>
  <si>
    <t>Microchip</t>
  </si>
  <si>
    <t>Diodes Zetex</t>
  </si>
  <si>
    <t>Epson</t>
  </si>
  <si>
    <t>47uF</t>
  </si>
  <si>
    <t>100uF</t>
  </si>
  <si>
    <t>15pF</t>
  </si>
  <si>
    <t>0.1uF</t>
  </si>
  <si>
    <t>0.047uF</t>
  </si>
  <si>
    <t>100uH</t>
  </si>
  <si>
    <t>60.4R</t>
  </si>
  <si>
    <t>220K</t>
  </si>
  <si>
    <t>47K</t>
  </si>
  <si>
    <t>10K</t>
  </si>
  <si>
    <t>150R</t>
  </si>
  <si>
    <t>27K</t>
  </si>
  <si>
    <t>330R</t>
  </si>
  <si>
    <t>22K</t>
  </si>
  <si>
    <t>100K</t>
  </si>
  <si>
    <t>3.7K</t>
  </si>
  <si>
    <t>1.82K</t>
  </si>
  <si>
    <t>1.24K</t>
  </si>
  <si>
    <t>1.06K</t>
  </si>
  <si>
    <t>796R</t>
  </si>
  <si>
    <t>47R</t>
  </si>
  <si>
    <t>Quantity</t>
  </si>
  <si>
    <t>Flipdot</t>
  </si>
  <si>
    <t>Custom</t>
  </si>
  <si>
    <t>Value</t>
  </si>
  <si>
    <t>Remarks</t>
  </si>
  <si>
    <t>This part will be sourced from a custom supplier</t>
  </si>
  <si>
    <t>Peripheral</t>
  </si>
  <si>
    <t>Battery</t>
  </si>
  <si>
    <t>BATTERY LITHIUM 3.6V AA</t>
  </si>
  <si>
    <t>LS14500</t>
  </si>
  <si>
    <t>Saft</t>
  </si>
  <si>
    <t>-</t>
  </si>
  <si>
    <t>CT</t>
  </si>
  <si>
    <t>Split core Ground fault protection current transformer</t>
  </si>
  <si>
    <t>LO-CTK1503203</t>
  </si>
  <si>
    <t>WUXI LIOU ELECTRONICS CO.,LTD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</si>
</sst>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2"/>
  <sheetViews>
    <sheetView tabSelected="1" topLeftCell="A49" workbookViewId="0">
      <selection activeCell="F15" sqref="F1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7109375" bestFit="1" customWidth="1"/>
    <col min="10" max="10" width="8.7109375" bestFit="1" customWidth="1"/>
    <col min="11" max="11" width="26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25</v>
      </c>
      <c r="E2" s="6" t="s">
        <v>74</v>
      </c>
      <c r="F2" s="5" t="s">
        <v>122</v>
      </c>
      <c r="G2" s="6" t="s">
        <v>146</v>
      </c>
      <c r="H2" s="5" t="s">
        <v>185</v>
      </c>
      <c r="I2" s="6" t="s">
        <v>234</v>
      </c>
      <c r="J2" s="5" t="s">
        <v>231</v>
      </c>
      <c r="K2" s="5" t="s">
        <v>235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26</v>
      </c>
      <c r="E3" s="8" t="s">
        <v>75</v>
      </c>
      <c r="F3" s="7" t="s">
        <v>123</v>
      </c>
      <c r="G3" s="8" t="s">
        <v>147</v>
      </c>
      <c r="H3" s="7" t="s">
        <v>186</v>
      </c>
      <c r="I3" s="8" t="s">
        <v>210</v>
      </c>
      <c r="J3" s="7">
        <v>3</v>
      </c>
      <c r="K3" s="7"/>
    </row>
    <row r="4" spans="1:11" ht="15.75" thickBot="1" x14ac:dyDescent="0.3">
      <c r="A4" s="1"/>
      <c r="B4" s="11">
        <f t="shared" ref="B4:B50" si="0">ROW(B4) - ROW($B$2)</f>
        <v>2</v>
      </c>
      <c r="C4" s="13" t="s">
        <v>2</v>
      </c>
      <c r="D4" s="9" t="s">
        <v>27</v>
      </c>
      <c r="E4" s="10" t="s">
        <v>76</v>
      </c>
      <c r="F4" s="9" t="s">
        <v>124</v>
      </c>
      <c r="G4" s="10" t="s">
        <v>148</v>
      </c>
      <c r="H4" s="9" t="s">
        <v>186</v>
      </c>
      <c r="I4" s="10" t="s">
        <v>211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28</v>
      </c>
      <c r="E5" s="8" t="s">
        <v>77</v>
      </c>
      <c r="F5" s="7" t="s">
        <v>125</v>
      </c>
      <c r="G5" s="8" t="s">
        <v>149</v>
      </c>
      <c r="H5" s="7" t="s">
        <v>187</v>
      </c>
      <c r="I5" s="8" t="s">
        <v>212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29</v>
      </c>
      <c r="E6" s="10" t="s">
        <v>78</v>
      </c>
      <c r="F6" s="9" t="s">
        <v>125</v>
      </c>
      <c r="G6" s="10" t="s">
        <v>150</v>
      </c>
      <c r="H6" s="9" t="s">
        <v>187</v>
      </c>
      <c r="I6" s="10" t="s">
        <v>213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30</v>
      </c>
      <c r="E7" s="8" t="s">
        <v>79</v>
      </c>
      <c r="F7" s="7" t="s">
        <v>125</v>
      </c>
      <c r="G7" s="8" t="s">
        <v>151</v>
      </c>
      <c r="H7" s="7" t="s">
        <v>187</v>
      </c>
      <c r="I7" s="8" t="s">
        <v>214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31</v>
      </c>
      <c r="E8" s="10" t="s">
        <v>80</v>
      </c>
      <c r="F8" s="9" t="s">
        <v>126</v>
      </c>
      <c r="G8" s="10" t="s">
        <v>152</v>
      </c>
      <c r="H8" s="9" t="s">
        <v>188</v>
      </c>
      <c r="I8" s="10" t="s">
        <v>242</v>
      </c>
      <c r="J8" s="9">
        <v>8</v>
      </c>
      <c r="K8" s="9"/>
    </row>
    <row r="9" spans="1:11" ht="24.75" thickBot="1" x14ac:dyDescent="0.3">
      <c r="A9" s="1"/>
      <c r="B9" s="11">
        <f>ROW(B9) - ROW($B$2)</f>
        <v>7</v>
      </c>
      <c r="C9" s="12" t="s">
        <v>5</v>
      </c>
      <c r="D9" s="7" t="s">
        <v>32</v>
      </c>
      <c r="E9" s="8" t="s">
        <v>81</v>
      </c>
      <c r="F9" s="7" t="s">
        <v>126</v>
      </c>
      <c r="G9" s="8" t="s">
        <v>153</v>
      </c>
      <c r="H9" s="7" t="s">
        <v>189</v>
      </c>
      <c r="I9" s="10" t="s">
        <v>242</v>
      </c>
      <c r="J9" s="7">
        <v>2</v>
      </c>
      <c r="K9" s="7"/>
    </row>
    <row r="10" spans="1:11" ht="24.75" thickBot="1" x14ac:dyDescent="0.3">
      <c r="A10" s="1"/>
      <c r="B10" s="11">
        <f t="shared" si="0"/>
        <v>8</v>
      </c>
      <c r="C10" s="13" t="s">
        <v>5</v>
      </c>
      <c r="D10" s="9" t="s">
        <v>33</v>
      </c>
      <c r="E10" s="10" t="s">
        <v>82</v>
      </c>
      <c r="F10" s="9" t="s">
        <v>126</v>
      </c>
      <c r="G10" s="10" t="s">
        <v>154</v>
      </c>
      <c r="H10" s="9" t="s">
        <v>190</v>
      </c>
      <c r="I10" s="10" t="s">
        <v>242</v>
      </c>
      <c r="J10" s="9">
        <v>2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5</v>
      </c>
      <c r="D11" s="7" t="s">
        <v>34</v>
      </c>
      <c r="E11" s="8" t="s">
        <v>83</v>
      </c>
      <c r="F11" s="7" t="s">
        <v>126</v>
      </c>
      <c r="G11" s="8" t="s">
        <v>155</v>
      </c>
      <c r="H11" s="7" t="s">
        <v>190</v>
      </c>
      <c r="I11" s="10" t="s">
        <v>242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6</v>
      </c>
      <c r="D12" s="9" t="s">
        <v>35</v>
      </c>
      <c r="E12" s="10" t="s">
        <v>84</v>
      </c>
      <c r="F12" s="9" t="s">
        <v>127</v>
      </c>
      <c r="G12" s="10" t="s">
        <v>156</v>
      </c>
      <c r="H12" s="9" t="s">
        <v>188</v>
      </c>
      <c r="I12" s="10" t="s">
        <v>242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7</v>
      </c>
      <c r="D13" s="7" t="s">
        <v>36</v>
      </c>
      <c r="E13" s="8" t="s">
        <v>85</v>
      </c>
      <c r="F13" s="7" t="s">
        <v>126</v>
      </c>
      <c r="G13" s="8" t="s">
        <v>157</v>
      </c>
      <c r="H13" s="7" t="s">
        <v>188</v>
      </c>
      <c r="I13" s="10" t="s">
        <v>242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5</v>
      </c>
      <c r="D14" s="9" t="s">
        <v>37</v>
      </c>
      <c r="E14" s="10" t="s">
        <v>86</v>
      </c>
      <c r="F14" s="9" t="s">
        <v>126</v>
      </c>
      <c r="G14" s="10" t="s">
        <v>158</v>
      </c>
      <c r="H14" s="9" t="s">
        <v>190</v>
      </c>
      <c r="I14" s="10" t="s">
        <v>242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8</v>
      </c>
      <c r="D15" s="7" t="s">
        <v>38</v>
      </c>
      <c r="E15" s="8" t="s">
        <v>87</v>
      </c>
      <c r="F15" s="7" t="s">
        <v>128</v>
      </c>
      <c r="G15" s="8" t="s">
        <v>128</v>
      </c>
      <c r="H15" s="7" t="s">
        <v>191</v>
      </c>
      <c r="I15" s="10" t="s">
        <v>242</v>
      </c>
      <c r="J15" s="7">
        <v>2</v>
      </c>
      <c r="K15" s="7"/>
    </row>
    <row r="16" spans="1:11" ht="48.75" thickBot="1" x14ac:dyDescent="0.3">
      <c r="A16" s="1"/>
      <c r="B16" s="11">
        <f t="shared" si="0"/>
        <v>14</v>
      </c>
      <c r="C16" s="13" t="s">
        <v>9</v>
      </c>
      <c r="D16" s="9" t="s">
        <v>39</v>
      </c>
      <c r="E16" s="10" t="s">
        <v>88</v>
      </c>
      <c r="F16" s="7" t="s">
        <v>233</v>
      </c>
      <c r="G16" s="10" t="s">
        <v>129</v>
      </c>
      <c r="H16" s="9" t="s">
        <v>192</v>
      </c>
      <c r="I16" s="10" t="s">
        <v>242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40</v>
      </c>
      <c r="E17" s="8" t="s">
        <v>89</v>
      </c>
      <c r="F17" s="7" t="s">
        <v>233</v>
      </c>
      <c r="G17" s="8" t="s">
        <v>130</v>
      </c>
      <c r="H17" s="7" t="s">
        <v>193</v>
      </c>
      <c r="I17" s="10" t="s">
        <v>242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11</v>
      </c>
      <c r="D18" s="9" t="s">
        <v>41</v>
      </c>
      <c r="E18" s="10" t="s">
        <v>90</v>
      </c>
      <c r="F18" s="7" t="s">
        <v>233</v>
      </c>
      <c r="G18" s="10" t="s">
        <v>131</v>
      </c>
      <c r="H18" s="9" t="s">
        <v>194</v>
      </c>
      <c r="I18" s="10" t="s">
        <v>215</v>
      </c>
      <c r="J18" s="9">
        <v>1</v>
      </c>
      <c r="K18" s="9"/>
    </row>
    <row r="19" spans="1:11" ht="26.25" thickBot="1" x14ac:dyDescent="0.3">
      <c r="A19" s="1"/>
      <c r="B19" s="11">
        <f>ROW(B19) - ROW($B$2)</f>
        <v>17</v>
      </c>
      <c r="C19" s="12"/>
      <c r="D19" s="7" t="s">
        <v>42</v>
      </c>
      <c r="E19" s="8" t="s">
        <v>91</v>
      </c>
      <c r="F19" s="7" t="s">
        <v>233</v>
      </c>
      <c r="G19" s="7" t="s">
        <v>132</v>
      </c>
      <c r="H19" s="7" t="s">
        <v>232</v>
      </c>
      <c r="I19" s="8" t="s">
        <v>242</v>
      </c>
      <c r="J19" s="7">
        <v>1</v>
      </c>
      <c r="K19" s="15" t="s">
        <v>236</v>
      </c>
    </row>
    <row r="20" spans="1:11" ht="15.75" thickBot="1" x14ac:dyDescent="0.3">
      <c r="A20" s="1"/>
      <c r="B20" s="11">
        <f t="shared" si="0"/>
        <v>18</v>
      </c>
      <c r="C20" s="13" t="s">
        <v>12</v>
      </c>
      <c r="D20" s="9" t="s">
        <v>43</v>
      </c>
      <c r="E20" s="10" t="s">
        <v>92</v>
      </c>
      <c r="F20" s="9" t="s">
        <v>133</v>
      </c>
      <c r="G20" s="10" t="s">
        <v>159</v>
      </c>
      <c r="H20" s="9" t="s">
        <v>195</v>
      </c>
      <c r="I20" s="8" t="s">
        <v>242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13</v>
      </c>
      <c r="D21" s="7" t="s">
        <v>44</v>
      </c>
      <c r="E21" s="8" t="s">
        <v>93</v>
      </c>
      <c r="F21" s="7" t="s">
        <v>134</v>
      </c>
      <c r="G21" s="8" t="s">
        <v>160</v>
      </c>
      <c r="H21" s="7" t="s">
        <v>195</v>
      </c>
      <c r="I21" s="8" t="s">
        <v>242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14</v>
      </c>
      <c r="D22" s="9" t="s">
        <v>45</v>
      </c>
      <c r="E22" s="10" t="s">
        <v>94</v>
      </c>
      <c r="F22" s="9" t="s">
        <v>135</v>
      </c>
      <c r="G22" s="10" t="s">
        <v>161</v>
      </c>
      <c r="H22" s="9" t="s">
        <v>196</v>
      </c>
      <c r="I22" s="8" t="s">
        <v>242</v>
      </c>
      <c r="J22" s="9">
        <v>8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15</v>
      </c>
      <c r="D23" s="7" t="s">
        <v>46</v>
      </c>
      <c r="E23" s="8" t="s">
        <v>95</v>
      </c>
      <c r="F23" s="7" t="s">
        <v>135</v>
      </c>
      <c r="G23" s="8" t="s">
        <v>162</v>
      </c>
      <c r="H23" s="7" t="s">
        <v>197</v>
      </c>
      <c r="I23" s="8" t="s">
        <v>242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16</v>
      </c>
      <c r="D24" s="9" t="s">
        <v>47</v>
      </c>
      <c r="E24" s="10" t="s">
        <v>96</v>
      </c>
      <c r="F24" s="9" t="s">
        <v>135</v>
      </c>
      <c r="G24" s="10" t="s">
        <v>163</v>
      </c>
      <c r="H24" s="9" t="s">
        <v>196</v>
      </c>
      <c r="I24" s="8" t="s">
        <v>242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17</v>
      </c>
      <c r="D25" s="7" t="s">
        <v>48</v>
      </c>
      <c r="E25" s="8" t="s">
        <v>97</v>
      </c>
      <c r="F25" s="7" t="s">
        <v>136</v>
      </c>
      <c r="G25" s="8" t="s">
        <v>164</v>
      </c>
      <c r="H25" s="7" t="s">
        <v>187</v>
      </c>
      <c r="I25" s="8" t="s">
        <v>216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17</v>
      </c>
      <c r="D26" s="9" t="s">
        <v>49</v>
      </c>
      <c r="E26" s="10" t="s">
        <v>98</v>
      </c>
      <c r="F26" s="9" t="s">
        <v>136</v>
      </c>
      <c r="G26" s="10" t="s">
        <v>165</v>
      </c>
      <c r="H26" s="9" t="s">
        <v>187</v>
      </c>
      <c r="I26" s="10" t="s">
        <v>217</v>
      </c>
      <c r="J26" s="9">
        <v>11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18</v>
      </c>
      <c r="D27" s="7" t="s">
        <v>50</v>
      </c>
      <c r="E27" s="8" t="s">
        <v>99</v>
      </c>
      <c r="F27" s="7" t="s">
        <v>136</v>
      </c>
      <c r="G27" s="8" t="s">
        <v>166</v>
      </c>
      <c r="H27" s="7" t="s">
        <v>198</v>
      </c>
      <c r="I27" s="8" t="s">
        <v>218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17</v>
      </c>
      <c r="D28" s="9" t="s">
        <v>51</v>
      </c>
      <c r="E28" s="10" t="s">
        <v>100</v>
      </c>
      <c r="F28" s="9" t="s">
        <v>136</v>
      </c>
      <c r="G28" s="10" t="s">
        <v>167</v>
      </c>
      <c r="H28" s="9" t="s">
        <v>187</v>
      </c>
      <c r="I28" s="10" t="s">
        <v>219</v>
      </c>
      <c r="J28" s="9">
        <v>8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18</v>
      </c>
      <c r="D29" s="7" t="s">
        <v>52</v>
      </c>
      <c r="E29" s="8" t="s">
        <v>101</v>
      </c>
      <c r="F29" s="7" t="s">
        <v>136</v>
      </c>
      <c r="G29" s="8" t="s">
        <v>168</v>
      </c>
      <c r="H29" s="7" t="s">
        <v>199</v>
      </c>
      <c r="I29" s="8" t="s">
        <v>220</v>
      </c>
      <c r="J29" s="7">
        <v>3</v>
      </c>
      <c r="K29" s="7"/>
    </row>
    <row r="30" spans="1:11" ht="36.75" thickBot="1" x14ac:dyDescent="0.3">
      <c r="A30" s="1"/>
      <c r="B30" s="11">
        <f t="shared" si="0"/>
        <v>28</v>
      </c>
      <c r="C30" s="13" t="s">
        <v>18</v>
      </c>
      <c r="D30" s="9" t="s">
        <v>53</v>
      </c>
      <c r="E30" s="10" t="s">
        <v>102</v>
      </c>
      <c r="F30" s="9" t="s">
        <v>136</v>
      </c>
      <c r="G30" s="10" t="s">
        <v>169</v>
      </c>
      <c r="H30" s="9" t="s">
        <v>199</v>
      </c>
      <c r="I30" s="10" t="s">
        <v>221</v>
      </c>
      <c r="J30" s="9">
        <v>2</v>
      </c>
      <c r="K30" s="9"/>
    </row>
    <row r="31" spans="1:11" ht="36.75" thickBot="1" x14ac:dyDescent="0.3">
      <c r="A31" s="1"/>
      <c r="B31" s="11">
        <f>ROW(B31) - ROW($B$2)</f>
        <v>29</v>
      </c>
      <c r="C31" s="12" t="s">
        <v>18</v>
      </c>
      <c r="D31" s="7" t="s">
        <v>54</v>
      </c>
      <c r="E31" s="8" t="s">
        <v>103</v>
      </c>
      <c r="F31" s="7" t="s">
        <v>136</v>
      </c>
      <c r="G31" s="8" t="s">
        <v>170</v>
      </c>
      <c r="H31" s="7" t="s">
        <v>199</v>
      </c>
      <c r="I31" s="8" t="s">
        <v>222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17</v>
      </c>
      <c r="D32" s="9" t="s">
        <v>55</v>
      </c>
      <c r="E32" s="10" t="s">
        <v>104</v>
      </c>
      <c r="F32" s="9" t="s">
        <v>136</v>
      </c>
      <c r="G32" s="10" t="s">
        <v>171</v>
      </c>
      <c r="H32" s="9" t="s">
        <v>200</v>
      </c>
      <c r="I32" s="10" t="s">
        <v>223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19</v>
      </c>
      <c r="D33" s="7" t="s">
        <v>56</v>
      </c>
      <c r="E33" s="8" t="s">
        <v>105</v>
      </c>
      <c r="F33" s="7" t="s">
        <v>233</v>
      </c>
      <c r="G33" s="8" t="s">
        <v>137</v>
      </c>
      <c r="H33" s="7" t="s">
        <v>201</v>
      </c>
      <c r="I33" s="8" t="s">
        <v>224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17</v>
      </c>
      <c r="D34" s="9" t="s">
        <v>57</v>
      </c>
      <c r="E34" s="10" t="s">
        <v>106</v>
      </c>
      <c r="F34" s="9" t="s">
        <v>136</v>
      </c>
      <c r="G34" s="10" t="s">
        <v>172</v>
      </c>
      <c r="H34" s="9" t="s">
        <v>188</v>
      </c>
      <c r="I34" s="10" t="s">
        <v>225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17</v>
      </c>
      <c r="D35" s="7" t="s">
        <v>58</v>
      </c>
      <c r="E35" s="8" t="s">
        <v>107</v>
      </c>
      <c r="F35" s="7" t="s">
        <v>136</v>
      </c>
      <c r="G35" s="8" t="s">
        <v>173</v>
      </c>
      <c r="H35" s="7" t="s">
        <v>200</v>
      </c>
      <c r="I35" s="8" t="s">
        <v>226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17</v>
      </c>
      <c r="D36" s="9" t="s">
        <v>59</v>
      </c>
      <c r="E36" s="10" t="s">
        <v>108</v>
      </c>
      <c r="F36" s="9" t="s">
        <v>136</v>
      </c>
      <c r="G36" s="10" t="s">
        <v>174</v>
      </c>
      <c r="H36" s="9" t="s">
        <v>200</v>
      </c>
      <c r="I36" s="10" t="s">
        <v>227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17</v>
      </c>
      <c r="D37" s="7" t="s">
        <v>60</v>
      </c>
      <c r="E37" s="8" t="s">
        <v>109</v>
      </c>
      <c r="F37" s="7" t="s">
        <v>136</v>
      </c>
      <c r="G37" s="8" t="s">
        <v>175</v>
      </c>
      <c r="H37" s="7" t="s">
        <v>188</v>
      </c>
      <c r="I37" s="8" t="s">
        <v>228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17</v>
      </c>
      <c r="D38" s="9" t="s">
        <v>61</v>
      </c>
      <c r="E38" s="10" t="s">
        <v>110</v>
      </c>
      <c r="F38" s="9" t="s">
        <v>136</v>
      </c>
      <c r="G38" s="10" t="s">
        <v>176</v>
      </c>
      <c r="H38" s="9" t="s">
        <v>188</v>
      </c>
      <c r="I38" s="10" t="s">
        <v>229</v>
      </c>
      <c r="J38" s="9">
        <v>1</v>
      </c>
      <c r="K38" s="9"/>
    </row>
    <row r="39" spans="1:11" ht="36.75" thickBot="1" x14ac:dyDescent="0.3">
      <c r="A39" s="1"/>
      <c r="B39" s="11">
        <f>ROW(B39) - ROW($B$2)</f>
        <v>37</v>
      </c>
      <c r="C39" s="12" t="s">
        <v>18</v>
      </c>
      <c r="D39" s="7" t="s">
        <v>62</v>
      </c>
      <c r="E39" s="8" t="s">
        <v>111</v>
      </c>
      <c r="F39" s="7" t="s">
        <v>138</v>
      </c>
      <c r="G39" s="8" t="s">
        <v>177</v>
      </c>
      <c r="H39" s="7" t="s">
        <v>202</v>
      </c>
      <c r="I39" s="8" t="s">
        <v>219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18</v>
      </c>
      <c r="D40" s="9" t="s">
        <v>63</v>
      </c>
      <c r="E40" s="10" t="s">
        <v>112</v>
      </c>
      <c r="F40" s="9" t="s">
        <v>136</v>
      </c>
      <c r="G40" s="10" t="s">
        <v>178</v>
      </c>
      <c r="H40" s="9" t="s">
        <v>199</v>
      </c>
      <c r="I40" s="10" t="s">
        <v>230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18</v>
      </c>
      <c r="D41" s="7" t="s">
        <v>64</v>
      </c>
      <c r="E41" s="8" t="s">
        <v>113</v>
      </c>
      <c r="F41" s="7" t="s">
        <v>233</v>
      </c>
      <c r="G41" s="8" t="s">
        <v>179</v>
      </c>
      <c r="H41" s="7" t="s">
        <v>187</v>
      </c>
      <c r="I41" s="8" t="s">
        <v>224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20</v>
      </c>
      <c r="D42" s="9" t="s">
        <v>65</v>
      </c>
      <c r="E42" s="10" t="s">
        <v>114</v>
      </c>
      <c r="F42" s="7" t="s">
        <v>233</v>
      </c>
      <c r="G42" s="10" t="s">
        <v>139</v>
      </c>
      <c r="H42" s="9" t="s">
        <v>203</v>
      </c>
      <c r="I42" s="10" t="s">
        <v>242</v>
      </c>
      <c r="J42" s="9">
        <v>1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21</v>
      </c>
      <c r="D43" s="7" t="s">
        <v>66</v>
      </c>
      <c r="E43" s="8" t="s">
        <v>115</v>
      </c>
      <c r="F43" s="7" t="s">
        <v>233</v>
      </c>
      <c r="G43" s="8" t="s">
        <v>140</v>
      </c>
      <c r="H43" s="7" t="s">
        <v>204</v>
      </c>
      <c r="I43" s="10" t="s">
        <v>242</v>
      </c>
      <c r="J43" s="7">
        <v>1</v>
      </c>
      <c r="K43" s="7"/>
    </row>
    <row r="44" spans="1:11" ht="24.75" thickBot="1" x14ac:dyDescent="0.3">
      <c r="A44" s="1"/>
      <c r="B44" s="11">
        <f t="shared" si="0"/>
        <v>42</v>
      </c>
      <c r="C44" s="13" t="s">
        <v>22</v>
      </c>
      <c r="D44" s="9" t="s">
        <v>67</v>
      </c>
      <c r="E44" s="10" t="s">
        <v>116</v>
      </c>
      <c r="F44" s="7" t="s">
        <v>233</v>
      </c>
      <c r="G44" s="10" t="s">
        <v>141</v>
      </c>
      <c r="H44" s="9" t="s">
        <v>205</v>
      </c>
      <c r="I44" s="10" t="s">
        <v>242</v>
      </c>
      <c r="J44" s="9">
        <v>2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23</v>
      </c>
      <c r="D45" s="7" t="s">
        <v>68</v>
      </c>
      <c r="E45" s="8" t="s">
        <v>117</v>
      </c>
      <c r="F45" s="7" t="s">
        <v>142</v>
      </c>
      <c r="G45" s="8" t="s">
        <v>180</v>
      </c>
      <c r="H45" s="7" t="s">
        <v>206</v>
      </c>
      <c r="I45" s="10" t="s">
        <v>242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23</v>
      </c>
      <c r="D46" s="9" t="s">
        <v>69</v>
      </c>
      <c r="E46" s="10" t="s">
        <v>118</v>
      </c>
      <c r="F46" s="9" t="s">
        <v>143</v>
      </c>
      <c r="G46" s="10" t="s">
        <v>181</v>
      </c>
      <c r="H46" s="9" t="s">
        <v>207</v>
      </c>
      <c r="I46" s="10" t="s">
        <v>242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23</v>
      </c>
      <c r="D47" s="7" t="s">
        <v>70</v>
      </c>
      <c r="E47" s="8" t="s">
        <v>119</v>
      </c>
      <c r="F47" s="7" t="s">
        <v>233</v>
      </c>
      <c r="G47" s="8" t="s">
        <v>144</v>
      </c>
      <c r="H47" s="7" t="s">
        <v>188</v>
      </c>
      <c r="I47" s="10" t="s">
        <v>242</v>
      </c>
      <c r="J47" s="7">
        <v>2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14</v>
      </c>
      <c r="D48" s="9" t="s">
        <v>71</v>
      </c>
      <c r="E48" s="10" t="s">
        <v>120</v>
      </c>
      <c r="F48" s="9" t="s">
        <v>135</v>
      </c>
      <c r="G48" s="10" t="s">
        <v>182</v>
      </c>
      <c r="H48" s="9" t="s">
        <v>208</v>
      </c>
      <c r="I48" s="10" t="s">
        <v>242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23</v>
      </c>
      <c r="D49" s="7" t="s">
        <v>72</v>
      </c>
      <c r="E49" s="8" t="s">
        <v>117</v>
      </c>
      <c r="F49" s="7" t="s">
        <v>142</v>
      </c>
      <c r="G49" s="8" t="s">
        <v>183</v>
      </c>
      <c r="H49" s="7" t="s">
        <v>206</v>
      </c>
      <c r="I49" s="10" t="s">
        <v>242</v>
      </c>
      <c r="J49" s="7">
        <v>1</v>
      </c>
      <c r="K49" s="7"/>
    </row>
    <row r="50" spans="1:11" ht="36.75" thickBot="1" x14ac:dyDescent="0.3">
      <c r="A50" s="1"/>
      <c r="B50" s="11">
        <f t="shared" ref="B50:B52" si="1">ROW(B50) - ROW($B$2)</f>
        <v>48</v>
      </c>
      <c r="C50" s="13" t="s">
        <v>24</v>
      </c>
      <c r="D50" s="9" t="s">
        <v>73</v>
      </c>
      <c r="E50" s="10" t="s">
        <v>121</v>
      </c>
      <c r="F50" s="9" t="s">
        <v>145</v>
      </c>
      <c r="G50" s="10" t="s">
        <v>184</v>
      </c>
      <c r="H50" s="9" t="s">
        <v>209</v>
      </c>
      <c r="I50" s="10" t="s">
        <v>242</v>
      </c>
      <c r="J50" s="9">
        <v>1</v>
      </c>
      <c r="K50" s="9"/>
    </row>
    <row r="51" spans="1:11" ht="15.75" thickBot="1" x14ac:dyDescent="0.3">
      <c r="B51" s="11">
        <f t="shared" si="1"/>
        <v>49</v>
      </c>
      <c r="C51" s="13" t="s">
        <v>237</v>
      </c>
      <c r="D51" s="9" t="s">
        <v>238</v>
      </c>
      <c r="E51" s="10" t="s">
        <v>239</v>
      </c>
      <c r="F51" s="9" t="s">
        <v>233</v>
      </c>
      <c r="G51" s="10" t="s">
        <v>240</v>
      </c>
      <c r="H51" s="9" t="s">
        <v>241</v>
      </c>
      <c r="I51" s="10" t="s">
        <v>242</v>
      </c>
      <c r="J51" s="9">
        <v>1</v>
      </c>
      <c r="K51" s="9"/>
    </row>
    <row r="52" spans="1:11" ht="26.25" thickBot="1" x14ac:dyDescent="0.3">
      <c r="B52" s="11">
        <f t="shared" si="1"/>
        <v>50</v>
      </c>
      <c r="C52" s="13" t="s">
        <v>237</v>
      </c>
      <c r="D52" s="9" t="s">
        <v>243</v>
      </c>
      <c r="E52" s="10" t="s">
        <v>244</v>
      </c>
      <c r="F52" s="9" t="s">
        <v>233</v>
      </c>
      <c r="G52" s="10" t="s">
        <v>245</v>
      </c>
      <c r="H52" s="9" t="s">
        <v>246</v>
      </c>
      <c r="I52" s="10" t="s">
        <v>242</v>
      </c>
      <c r="J52" s="9">
        <v>1</v>
      </c>
      <c r="K52" s="15" t="s">
        <v>236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2025-11-13T15:01:55Z</dcterms:modified>
</cp:coreProperties>
</file>